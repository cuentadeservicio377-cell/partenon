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gresos" sheetId="2" state="visible" r:id="rId2"/>
    <sheet name="Gastos Fijos" sheetId="3" state="visible" r:id="rId3"/>
    <sheet name="Gastos Variables" sheetId="4" state="visible" r:id="rId4"/>
    <sheet name="Provee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Space Grotesk"/>
      <b val="1"/>
      <color rgb="00050505"/>
      <sz val="11"/>
    </font>
    <font>
      <name val="Geist"/>
      <color rgb="00E8E8ED"/>
      <sz val="10"/>
    </font>
  </fonts>
  <fills count="3">
    <fill>
      <patternFill/>
    </fill>
    <fill>
      <patternFill patternType="gray125"/>
    </fill>
    <fill>
      <patternFill patternType="solid">
        <fgColor rgb="0000D4FF"/>
        <bgColor rgb="0000D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25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Nota</t>
        </is>
      </c>
    </row>
    <row r="2">
      <c r="A2" s="2" t="inlineStr">
        <is>
          <t>Ingresos mes actual</t>
        </is>
      </c>
      <c r="B2" s="2">
        <f>SUM(Ingresos[C])</f>
        <v/>
      </c>
      <c r="C2" s="2" t="inlineStr">
        <is>
          <t>Suma de hoja Ingresos</t>
        </is>
      </c>
    </row>
    <row r="3">
      <c r="A3" s="2" t="inlineStr">
        <is>
          <t>Gastos fijos mes</t>
        </is>
      </c>
      <c r="B3" s="2">
        <f>SUMIF('Gastos Fijos'[C],"&lt;&gt;")</f>
        <v/>
      </c>
      <c r="C3" s="2" t="inlineStr">
        <is>
          <t>Costos recurrentes</t>
        </is>
      </c>
    </row>
    <row r="4">
      <c r="A4" s="2" t="inlineStr">
        <is>
          <t>Gastos variables mes</t>
        </is>
      </c>
      <c r="B4" s="2">
        <f>SUMIF('Gastos Variables'[C],"&lt;&gt;")</f>
        <v/>
      </c>
      <c r="C4" s="2" t="inlineStr">
        <is>
          <t>Costos proporcionales</t>
        </is>
      </c>
    </row>
    <row r="5">
      <c r="A5" s="2" t="inlineStr">
        <is>
          <t>Margen estimado</t>
        </is>
      </c>
      <c r="B5" s="2">
        <f>B2-B3-B4</f>
        <v/>
      </c>
      <c r="C5" s="2" t="inlineStr">
        <is>
          <t>Ingresos - gastos</t>
        </is>
      </c>
    </row>
    <row r="6">
      <c r="A6" s="2" t="inlineStr">
        <is>
          <t>Proveedores activos</t>
        </is>
      </c>
      <c r="B6" s="2">
        <f>COUNTA(Proveedores[A])-1</f>
        <v/>
      </c>
      <c r="C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1" customWidth="1" min="4" max="4"/>
    <col width="9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Cliente</t>
        </is>
      </c>
      <c r="E1" s="1" t="inlineStr">
        <is>
          <t>Canal</t>
        </is>
      </c>
    </row>
    <row r="2">
      <c r="A2" s="3" t="n">
        <v>46175</v>
      </c>
      <c r="B2" t="inlineStr">
        <is>
          <t>Retainer consultoria</t>
        </is>
      </c>
      <c r="C2" t="n">
        <v>2500</v>
      </c>
      <c r="D2" t="inlineStr">
        <is>
          <t>Acme S.A.</t>
        </is>
      </c>
      <c r="E2" t="inlineStr">
        <is>
          <t>Transferencia</t>
        </is>
      </c>
    </row>
    <row r="3">
      <c r="A3" s="3" t="n">
        <v>46183</v>
      </c>
      <c r="B3" t="inlineStr">
        <is>
          <t>Desarrollo web</t>
        </is>
      </c>
      <c r="C3" t="n">
        <v>1500</v>
      </c>
      <c r="D3" t="inlineStr">
        <is>
          <t>Beta Labs</t>
        </is>
      </c>
      <c r="E3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4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Frecuencia</t>
        </is>
      </c>
      <c r="E1" s="1" t="inlineStr">
        <is>
          <t>Proveedor</t>
        </is>
      </c>
    </row>
    <row r="2">
      <c r="A2" s="3" t="n">
        <v>46174</v>
      </c>
      <c r="B2" t="inlineStr">
        <is>
          <t>Oficina coworking</t>
        </is>
      </c>
      <c r="C2" t="n">
        <v>450</v>
      </c>
      <c r="D2" t="inlineStr">
        <is>
          <t>Mensual</t>
        </is>
      </c>
      <c r="E2" t="inlineStr">
        <is>
          <t>WeWork</t>
        </is>
      </c>
    </row>
    <row r="3">
      <c r="A3" s="3" t="n">
        <v>46174</v>
      </c>
      <c r="B3" t="inlineStr">
        <is>
          <t>Software contable</t>
        </is>
      </c>
      <c r="C3" t="n">
        <v>39</v>
      </c>
      <c r="D3" t="inlineStr">
        <is>
          <t>Mensual</t>
        </is>
      </c>
      <c r="E3" t="inlineStr">
        <is>
          <t>QuickBooks</t>
        </is>
      </c>
    </row>
    <row r="4">
      <c r="A4" s="3" t="n">
        <v>46174</v>
      </c>
      <c r="B4" t="inlineStr">
        <is>
          <t>Seguridad AWS</t>
        </is>
      </c>
      <c r="C4" t="n">
        <v>120</v>
      </c>
      <c r="D4" t="inlineStr">
        <is>
          <t>Mensual</t>
        </is>
      </c>
      <c r="E4" t="inlineStr">
        <is>
          <t>Amazon Web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13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Concepto</t>
        </is>
      </c>
      <c r="C1" s="1" t="inlineStr">
        <is>
          <t>Monto</t>
        </is>
      </c>
      <c r="D1" s="1" t="inlineStr">
        <is>
          <t>Categoria</t>
        </is>
      </c>
      <c r="E1" s="1" t="inlineStr">
        <is>
          <t>Proveedor</t>
        </is>
      </c>
    </row>
    <row r="2">
      <c r="A2" s="3" t="n">
        <v>46176</v>
      </c>
      <c r="B2" t="inlineStr">
        <is>
          <t>Publicidad Meta</t>
        </is>
      </c>
      <c r="C2" t="n">
        <v>250</v>
      </c>
      <c r="D2" t="inlineStr">
        <is>
          <t>Marketing</t>
        </is>
      </c>
      <c r="E2" t="inlineStr">
        <is>
          <t>Meta</t>
        </is>
      </c>
    </row>
    <row r="3">
      <c r="A3" s="3" t="n">
        <v>46178</v>
      </c>
      <c r="B3" t="inlineStr">
        <is>
          <t>Freelance diseno</t>
        </is>
      </c>
      <c r="C3" t="n">
        <v>600</v>
      </c>
      <c r="D3" t="inlineStr">
        <is>
          <t>Diseno</t>
        </is>
      </c>
      <c r="E3" t="inlineStr">
        <is>
          <t>Upwork</t>
        </is>
      </c>
    </row>
    <row r="4">
      <c r="A4" s="3" t="n">
        <v>46181</v>
      </c>
      <c r="B4" t="inlineStr">
        <is>
          <t>Viaje cliente</t>
        </is>
      </c>
      <c r="C4" t="n">
        <v>180</v>
      </c>
      <c r="D4" t="inlineStr">
        <is>
          <t>Operaciones</t>
        </is>
      </c>
      <c r="E4" t="inlineStr">
        <is>
          <t>Uber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7" customWidth="1" min="4" max="4"/>
    <col width="16" customWidth="1" min="5" max="5"/>
  </cols>
  <sheetData>
    <row r="1">
      <c r="A1" s="1" t="inlineStr">
        <is>
          <t>Nombre</t>
        </is>
      </c>
      <c r="B1" s="1" t="inlineStr">
        <is>
          <t>Servicio</t>
        </is>
      </c>
      <c r="C1" s="1" t="inlineStr">
        <is>
          <t>Contacto</t>
        </is>
      </c>
      <c r="D1" s="1" t="inlineStr">
        <is>
          <t>Pago habitual</t>
        </is>
      </c>
      <c r="E1" s="1" t="inlineStr">
        <is>
          <t>Calificacion</t>
        </is>
      </c>
    </row>
    <row r="2">
      <c r="A2" t="inlineStr">
        <is>
          <t>WeWork</t>
        </is>
      </c>
      <c r="B2" t="inlineStr">
        <is>
          <t>Coworking</t>
        </is>
      </c>
      <c r="C2" t="inlineStr">
        <is>
          <t>wework.com</t>
        </is>
      </c>
      <c r="D2" t="n">
        <v>450</v>
      </c>
      <c r="E2" t="n">
        <v>4</v>
      </c>
    </row>
    <row r="3">
      <c r="A3" t="inlineStr">
        <is>
          <t>QuickBooks</t>
        </is>
      </c>
      <c r="B3" t="inlineStr">
        <is>
          <t>Contabilidad</t>
        </is>
      </c>
      <c r="C3" t="inlineStr">
        <is>
          <t>quickbooks.intuit.com</t>
        </is>
      </c>
      <c r="D3" t="n">
        <v>39</v>
      </c>
      <c r="E3" t="n">
        <v>5</v>
      </c>
    </row>
    <row r="4">
      <c r="A4" t="inlineStr">
        <is>
          <t>Amazon Web Services</t>
        </is>
      </c>
      <c r="B4" t="inlineStr">
        <is>
          <t>Infraestructura</t>
        </is>
      </c>
      <c r="C4" t="inlineStr">
        <is>
          <t>aws.amazon.com</t>
        </is>
      </c>
      <c r="D4" t="n">
        <v>120</v>
      </c>
      <c r="E4" t="n">
        <v>5</v>
      </c>
    </row>
    <row r="5">
      <c r="A5" t="inlineStr">
        <is>
          <t>Meta</t>
        </is>
      </c>
      <c r="B5" t="inlineStr">
        <is>
          <t>Publicidad</t>
        </is>
      </c>
      <c r="C5" t="inlineStr">
        <is>
          <t>business.meta.com</t>
        </is>
      </c>
      <c r="D5" t="n">
        <v>250</v>
      </c>
      <c r="E5" t="n">
        <v>3</v>
      </c>
    </row>
    <row r="6">
      <c r="A6" t="inlineStr">
        <is>
          <t>Upwork</t>
        </is>
      </c>
      <c r="B6" t="inlineStr">
        <is>
          <t>Talento</t>
        </is>
      </c>
      <c r="C6" t="inlineStr">
        <is>
          <t>upwork.com</t>
        </is>
      </c>
      <c r="D6" t="n">
        <v>600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2026-06-26T02:42:07Z</dcterms:created>
  <dcterms:modified xsi:type="dcterms:W3CDTF">2026-06-26T02:42:07Z</dcterms:modified>
</cp:coreProperties>
</file>