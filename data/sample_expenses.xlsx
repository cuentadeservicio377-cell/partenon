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come" sheetId="2" state="visible" r:id="rId2"/>
    <sheet name="Fixed Expenses" sheetId="3" state="visible" r:id="rId3"/>
    <sheet name="Variable Expenses" sheetId="4" state="visible" r:id="rId4"/>
    <sheet name="Suppli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Space Grotesk"/>
      <b val="1"/>
      <color rgb="00050505"/>
      <sz val="11"/>
    </font>
    <font>
      <name val="Geist"/>
      <color rgb="00E8E8ED"/>
      <sz val="10"/>
    </font>
  </fonts>
  <fills count="3">
    <fill>
      <patternFill/>
    </fill>
    <fill>
      <patternFill patternType="gray125"/>
    </fill>
    <fill>
      <patternFill patternType="solid">
        <fgColor rgb="0000D4FF"/>
        <bgColor rgb="0000D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33" customWidth="1" min="2" max="2"/>
    <col width="23" customWidth="1" min="3" max="3"/>
  </cols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Current month income</t>
        </is>
      </c>
      <c r="B2" s="2">
        <f>SUM(Income!C:C)</f>
        <v/>
      </c>
      <c r="C2" s="2" t="inlineStr">
        <is>
          <t>Sum of Income sheet</t>
        </is>
      </c>
    </row>
    <row r="3">
      <c r="A3" s="2" t="inlineStr">
        <is>
          <t>Monthly fixed expenses</t>
        </is>
      </c>
      <c r="B3" s="2">
        <f>SUM('Fixed Expenses'!C:C)</f>
        <v/>
      </c>
      <c r="C3" s="2" t="inlineStr">
        <is>
          <t>Recurring costs</t>
        </is>
      </c>
    </row>
    <row r="4">
      <c r="A4" s="2" t="inlineStr">
        <is>
          <t>Monthly variable expenses</t>
        </is>
      </c>
      <c r="B4" s="2">
        <f>SUM('Variable Expenses'!C:C)</f>
        <v/>
      </c>
      <c r="C4" s="2" t="inlineStr">
        <is>
          <t>Proportional costs</t>
        </is>
      </c>
    </row>
    <row r="5">
      <c r="A5" s="2" t="inlineStr">
        <is>
          <t>Estimated margin</t>
        </is>
      </c>
      <c r="B5" s="2">
        <f>B2-B3-B4</f>
        <v/>
      </c>
      <c r="C5" s="2" t="inlineStr">
        <is>
          <t>Income - expenses</t>
        </is>
      </c>
    </row>
    <row r="6">
      <c r="A6" s="2" t="inlineStr">
        <is>
          <t>Active suppliers</t>
        </is>
      </c>
      <c r="B6" s="2">
        <f>COUNTA(Suppliers!A:A)-1</f>
        <v/>
      </c>
      <c r="C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0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Concept</t>
        </is>
      </c>
      <c r="C1" s="1" t="inlineStr">
        <is>
          <t>Amount</t>
        </is>
      </c>
      <c r="D1" s="1" t="inlineStr">
        <is>
          <t>Client</t>
        </is>
      </c>
      <c r="E1" s="1" t="inlineStr">
        <is>
          <t>Channel</t>
        </is>
      </c>
    </row>
    <row r="2">
      <c r="A2" s="3" t="n">
        <v>46175</v>
      </c>
      <c r="B2" t="inlineStr">
        <is>
          <t>Consulting retainer</t>
        </is>
      </c>
      <c r="C2" t="n">
        <v>2500</v>
      </c>
      <c r="D2" t="inlineStr">
        <is>
          <t>Acme Inc.</t>
        </is>
      </c>
      <c r="E2" t="inlineStr">
        <is>
          <t>Wire transfer</t>
        </is>
      </c>
    </row>
    <row r="3">
      <c r="A3" s="3" t="n">
        <v>46183</v>
      </c>
      <c r="B3" t="inlineStr">
        <is>
          <t>Web development</t>
        </is>
      </c>
      <c r="C3" t="n">
        <v>1500</v>
      </c>
      <c r="D3" t="inlineStr">
        <is>
          <t>Beta Labs</t>
        </is>
      </c>
      <c r="E3" t="inlineStr">
        <is>
          <t>Stripe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3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Concept</t>
        </is>
      </c>
      <c r="C1" s="1" t="inlineStr">
        <is>
          <t>Amount</t>
        </is>
      </c>
      <c r="D1" s="1" t="inlineStr">
        <is>
          <t>Frequency</t>
        </is>
      </c>
      <c r="E1" s="1" t="inlineStr">
        <is>
          <t>Supplier</t>
        </is>
      </c>
    </row>
    <row r="2">
      <c r="A2" s="3" t="n">
        <v>46174</v>
      </c>
      <c r="B2" t="inlineStr">
        <is>
          <t>Coworking office</t>
        </is>
      </c>
      <c r="C2" t="n">
        <v>450</v>
      </c>
      <c r="D2" t="inlineStr">
        <is>
          <t>Monthly</t>
        </is>
      </c>
      <c r="E2" t="inlineStr">
        <is>
          <t>WeWork</t>
        </is>
      </c>
    </row>
    <row r="3">
      <c r="A3" s="3" t="n">
        <v>46174</v>
      </c>
      <c r="B3" t="inlineStr">
        <is>
          <t>Accounting software</t>
        </is>
      </c>
      <c r="C3" t="n">
        <v>39</v>
      </c>
      <c r="D3" t="inlineStr">
        <is>
          <t>Monthly</t>
        </is>
      </c>
      <c r="E3" t="inlineStr">
        <is>
          <t>QuickBooks</t>
        </is>
      </c>
    </row>
    <row r="4">
      <c r="A4" s="3" t="n">
        <v>46174</v>
      </c>
      <c r="B4" t="inlineStr">
        <is>
          <t>AWS security</t>
        </is>
      </c>
      <c r="C4" t="n">
        <v>120</v>
      </c>
      <c r="D4" t="inlineStr">
        <is>
          <t>Monthly</t>
        </is>
      </c>
      <c r="E4" t="inlineStr">
        <is>
          <t>Amazon Web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Concept</t>
        </is>
      </c>
      <c r="C1" s="1" t="inlineStr">
        <is>
          <t>Amount</t>
        </is>
      </c>
      <c r="D1" s="1" t="inlineStr">
        <is>
          <t>Category</t>
        </is>
      </c>
      <c r="E1" s="1" t="inlineStr">
        <is>
          <t>Supplier</t>
        </is>
      </c>
    </row>
    <row r="2">
      <c r="A2" s="3" t="n">
        <v>46176</v>
      </c>
      <c r="B2" t="inlineStr">
        <is>
          <t>Meta advertising</t>
        </is>
      </c>
      <c r="C2" t="n">
        <v>250</v>
      </c>
      <c r="D2" t="inlineStr">
        <is>
          <t>Marketing</t>
        </is>
      </c>
      <c r="E2" t="inlineStr">
        <is>
          <t>Meta</t>
        </is>
      </c>
    </row>
    <row r="3">
      <c r="A3" s="3" t="n">
        <v>46178</v>
      </c>
      <c r="B3" t="inlineStr">
        <is>
          <t>Freelance design</t>
        </is>
      </c>
      <c r="C3" t="n">
        <v>600</v>
      </c>
      <c r="D3" t="inlineStr">
        <is>
          <t>Design</t>
        </is>
      </c>
      <c r="E3" t="inlineStr">
        <is>
          <t>Upwork</t>
        </is>
      </c>
    </row>
    <row r="4">
      <c r="A4" s="3" t="n">
        <v>46181</v>
      </c>
      <c r="B4" t="inlineStr">
        <is>
          <t>Client travel</t>
        </is>
      </c>
      <c r="C4" t="n">
        <v>180</v>
      </c>
      <c r="D4" t="inlineStr">
        <is>
          <t>Operations</t>
        </is>
      </c>
      <c r="E4" t="inlineStr">
        <is>
          <t>Uber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7" customWidth="1" min="4" max="4"/>
    <col width="10" customWidth="1" min="5" max="5"/>
  </cols>
  <sheetData>
    <row r="1">
      <c r="A1" s="1" t="inlineStr">
        <is>
          <t>Name</t>
        </is>
      </c>
      <c r="B1" s="1" t="inlineStr">
        <is>
          <t>Service</t>
        </is>
      </c>
      <c r="C1" s="1" t="inlineStr">
        <is>
          <t>Contact</t>
        </is>
      </c>
      <c r="D1" s="1" t="inlineStr">
        <is>
          <t>Usual payment</t>
        </is>
      </c>
      <c r="E1" s="1" t="inlineStr">
        <is>
          <t>Rating</t>
        </is>
      </c>
    </row>
    <row r="2">
      <c r="A2" t="inlineStr">
        <is>
          <t>WeWork</t>
        </is>
      </c>
      <c r="B2" t="inlineStr">
        <is>
          <t>Coworking</t>
        </is>
      </c>
      <c r="C2" t="inlineStr">
        <is>
          <t>wework.com</t>
        </is>
      </c>
      <c r="D2" t="n">
        <v>450</v>
      </c>
      <c r="E2" t="n">
        <v>4</v>
      </c>
    </row>
    <row r="3">
      <c r="A3" t="inlineStr">
        <is>
          <t>QuickBooks</t>
        </is>
      </c>
      <c r="B3" t="inlineStr">
        <is>
          <t>Accounting</t>
        </is>
      </c>
      <c r="C3" t="inlineStr">
        <is>
          <t>quickbooks.intuit.com</t>
        </is>
      </c>
      <c r="D3" t="n">
        <v>39</v>
      </c>
      <c r="E3" t="n">
        <v>5</v>
      </c>
    </row>
    <row r="4">
      <c r="A4" t="inlineStr">
        <is>
          <t>Amazon Web Services</t>
        </is>
      </c>
      <c r="B4" t="inlineStr">
        <is>
          <t>Infrastructure</t>
        </is>
      </c>
      <c r="C4" t="inlineStr">
        <is>
          <t>aws.amazon.com</t>
        </is>
      </c>
      <c r="D4" t="n">
        <v>120</v>
      </c>
      <c r="E4" t="n">
        <v>5</v>
      </c>
    </row>
    <row r="5">
      <c r="A5" t="inlineStr">
        <is>
          <t>Meta</t>
        </is>
      </c>
      <c r="B5" t="inlineStr">
        <is>
          <t>Advertising</t>
        </is>
      </c>
      <c r="C5" t="inlineStr">
        <is>
          <t>business.meta.com</t>
        </is>
      </c>
      <c r="D5" t="n">
        <v>250</v>
      </c>
      <c r="E5" t="n">
        <v>3</v>
      </c>
    </row>
    <row r="6">
      <c r="A6" t="inlineStr">
        <is>
          <t>Upwork</t>
        </is>
      </c>
      <c r="B6" t="inlineStr">
        <is>
          <t>Talent</t>
        </is>
      </c>
      <c r="C6" t="inlineStr">
        <is>
          <t>upwork.com</t>
        </is>
      </c>
      <c r="D6" t="n">
        <v>600</v>
      </c>
      <c r="E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2026-06-26T21:02:02Z</dcterms:created>
  <dcterms:modified xsi:type="dcterms:W3CDTF">2026-06-26T21:02:02Z</dcterms:modified>
</cp:coreProperties>
</file>